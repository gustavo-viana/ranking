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281f6befb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letas" sheetId="1" r:id="R0b54e3dd270242f7"/>
    <x:sheet xmlns:r="http://schemas.openxmlformats.org/officeDocument/2006/relationships" name="Desafios" sheetId="2" r:id="Rebd55cfc5ad3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04F3A"/>
      </x:patternFill>
    </x:fill>
    <x:fill>
      <x:patternFill patternType="solid">
        <x:fgColor rgb="FFFFF7D6"/>
      </x:patternFill>
    </x:fill>
    <x:fill>
      <x:patternFill patternType="solid">
        <x:fgColor rgb="FFEAF2E7"/>
      </x:patternFill>
    </x:fill>
  </x:fills>
  <x:borders count="3">
    <x:border/>
    <x:border>
      <x:top style="medium">
        <x:color rgb="FF204F3A"/>
      </x:top>
      <x:bottom style="thin">
        <x:color rgb="FFDFE3DC"/>
      </x:bottom>
    </x:border>
    <x:border>
      <x:top style="thin">
        <x:color rgb="FFDFE3DC"/>
      </x:top>
      <x:bottom style="thin">
        <x:color rgb="FFDFE3D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af552884c4a61" /><Relationship Type="http://schemas.openxmlformats.org/officeDocument/2006/relationships/theme" Target="/xl/theme/theme1.xml" Id="R0a78404133204038" /><Relationship Type="http://schemas.openxmlformats.org/officeDocument/2006/relationships/sharedStrings" Target="/xl/sharedStrings.xml" Id="R3fa66e2be1254d83" /><Relationship Type="http://schemas.openxmlformats.org/officeDocument/2006/relationships/worksheet" Target="/xl/worksheets/sheet1.xml" Id="R0b54e3dd270242f7" /><Relationship Type="http://schemas.openxmlformats.org/officeDocument/2006/relationships/worksheet" Target="/xl/worksheets/sheet2.xml" Id="Rebd55cfc5ad34071" /></Relationships>
</file>

<file path=xl/tables/table1.xml><?xml version="1.0" encoding="utf-8"?>
<x:table xmlns:x="http://schemas.openxmlformats.org/spreadsheetml/2006/main" id="2" name="TabelaAtletas" displayName="TabelaAtletas" ref="A1:F29" headerRowCount="1" totalsRowCount="0" totalsRowShown="0">
  <x:tableColumns count="6">
    <x:tableColumn id="1" name="ordem"/>
    <x:tableColumn id="2" name="nome"/>
    <x:tableColumn id="3" name="grupo"/>
    <x:tableColumn id="4" name="pontos"/>
    <x:tableColumn id="5" name="jogos"/>
    <x:tableColumn id="6" name="vitori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elaDesafios" displayName="TabelaDesafios" ref="A1:K29" headerRowCount="1" totalsRowCount="0" totalsRowShown="0">
  <x:tableColumns count="11">
    <x:tableColumn id="1" name="ordem"/>
    <x:tableColumn id="2" name="nome"/>
    <x:tableColumn id="3" name="grupo"/>
    <x:tableColumn id="4" name="rodada"/>
    <x:tableColumn id="5" name="tipo"/>
    <x:tableColumn id="6" name="vitorias"/>
    <x:tableColumn id="7" name="derrotas"/>
    <x:tableColumn id="8" name="games_pro"/>
    <x:tableColumn id="9" name="games_contra"/>
    <x:tableColumn id="10" name="jogos"/>
    <x:tableColumn id="11" name="po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b472478ad24d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067e52e6e041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ordem</x:v>
      </x:c>
      <x:c r="B1" s="5" t="str">
        <x:v>nome</x:v>
      </x:c>
      <x:c r="C1" s="5" t="str">
        <x:v>grupo</x:v>
      </x:c>
      <x:c r="D1" s="5" t="str">
        <x:v>pontos</x:v>
      </x:c>
      <x:c r="E1" s="5" t="str">
        <x:v>jogos</x:v>
      </x:c>
      <x:c r="F1" s="5" t="str">
        <x:v>vitorias</x:v>
      </x:c>
    </x:row>
    <x:row r="2">
      <x:c r="A2" s="3" t="n">
        <x:v>1</x:v>
      </x:c>
      <x:c r="B2" s="3" t="str">
        <x:v>Abrahão</x:v>
      </x:c>
      <x:c r="C2" s="3" t="str">
        <x:v>Grupo A</x:v>
      </x:c>
      <x:c r="D2" s="3" t="n">
        <x:v>0</x:v>
      </x:c>
      <x:c r="E2" s="3" t="n">
        <x:v>0</x:v>
      </x:c>
      <x:c r="F2" s="3" t="n">
        <x:v>0</x:v>
      </x:c>
    </x:row>
    <x:row r="3">
      <x:c r="A3" s="3" t="n">
        <x:v>2</x:v>
      </x:c>
      <x:c r="B3" s="3" t="str">
        <x:v>Alexis</x:v>
      </x:c>
      <x:c r="C3" s="3" t="str">
        <x:v>Grupo A</x:v>
      </x:c>
      <x:c r="D3" s="3" t="n">
        <x:v>0</x:v>
      </x:c>
      <x:c r="E3" s="3" t="n">
        <x:v>0</x:v>
      </x:c>
      <x:c r="F3" s="3" t="n">
        <x:v>0</x:v>
      </x:c>
    </x:row>
    <x:row r="4">
      <x:c r="A4" s="3" t="n">
        <x:v>3</x:v>
      </x:c>
      <x:c r="B4" s="3" t="str">
        <x:v>Betinho</x:v>
      </x:c>
      <x:c r="C4" s="3" t="str">
        <x:v>Grupo A</x:v>
      </x:c>
      <x:c r="D4" s="3" t="n">
        <x:v>0</x:v>
      </x:c>
      <x:c r="E4" s="3" t="n">
        <x:v>0</x:v>
      </x:c>
      <x:c r="F4" s="3" t="n">
        <x:v>0</x:v>
      </x:c>
    </x:row>
    <x:row r="5">
      <x:c r="A5" s="3" t="n">
        <x:v>4</x:v>
      </x:c>
      <x:c r="B5" s="3" t="str">
        <x:v>Felipe</x:v>
      </x:c>
      <x:c r="C5" s="3" t="str">
        <x:v>Grupo A</x:v>
      </x:c>
      <x:c r="D5" s="3" t="n">
        <x:v>0</x:v>
      </x:c>
      <x:c r="E5" s="3" t="n">
        <x:v>0</x:v>
      </x:c>
      <x:c r="F5" s="3" t="n">
        <x:v>0</x:v>
      </x:c>
    </x:row>
    <x:row r="6">
      <x:c r="A6" s="3" t="n">
        <x:v>5</x:v>
      </x:c>
      <x:c r="B6" s="3" t="str">
        <x:v>Fernando Almeida</x:v>
      </x:c>
      <x:c r="C6" s="3" t="str">
        <x:v>Grupo A</x:v>
      </x:c>
      <x:c r="D6" s="3" t="n">
        <x:v>0</x:v>
      </x:c>
      <x:c r="E6" s="3" t="n">
        <x:v>0</x:v>
      </x:c>
      <x:c r="F6" s="3" t="n">
        <x:v>0</x:v>
      </x:c>
    </x:row>
    <x:row r="7">
      <x:c r="A7" s="3" t="n">
        <x:v>6</x:v>
      </x:c>
      <x:c r="B7" s="3" t="str">
        <x:v>Fernando Corrêa</x:v>
      </x:c>
      <x:c r="C7" s="3" t="str">
        <x:v>Grupo A</x:v>
      </x:c>
      <x:c r="D7" s="3" t="n">
        <x:v>0</x:v>
      </x:c>
      <x:c r="E7" s="3" t="n">
        <x:v>0</x:v>
      </x:c>
      <x:c r="F7" s="3" t="n">
        <x:v>0</x:v>
      </x:c>
    </x:row>
    <x:row r="8">
      <x:c r="A8" s="3" t="n">
        <x:v>7</x:v>
      </x:c>
      <x:c r="B8" s="3" t="str">
        <x:v>Fernando Dreyer</x:v>
      </x:c>
      <x:c r="C8" s="3" t="str">
        <x:v>Grupo A</x:v>
      </x:c>
      <x:c r="D8" s="3" t="n">
        <x:v>0</x:v>
      </x:c>
      <x:c r="E8" s="3" t="n">
        <x:v>0</x:v>
      </x:c>
      <x:c r="F8" s="3" t="n">
        <x:v>0</x:v>
      </x:c>
    </x:row>
    <x:row r="9">
      <x:c r="A9" s="3" t="n">
        <x:v>8</x:v>
      </x:c>
      <x:c r="B9" s="3" t="str">
        <x:v>Gabriel Pereira</x:v>
      </x:c>
      <x:c r="C9" s="3" t="str">
        <x:v>Grupo A</x:v>
      </x:c>
      <x:c r="D9" s="3" t="n">
        <x:v>0</x:v>
      </x:c>
      <x:c r="E9" s="3" t="n">
        <x:v>0</x:v>
      </x:c>
      <x:c r="F9" s="3" t="n">
        <x:v>0</x:v>
      </x:c>
    </x:row>
    <x:row r="10">
      <x:c r="A10" s="3" t="n">
        <x:v>9</x:v>
      </x:c>
      <x:c r="B10" s="3" t="str">
        <x:v>Igor Pinheiro</x:v>
      </x:c>
      <x:c r="C10" s="3" t="str">
        <x:v>Grupo A</x:v>
      </x:c>
      <x:c r="D10" s="3" t="n">
        <x:v>0</x:v>
      </x:c>
      <x:c r="E10" s="3" t="n">
        <x:v>0</x:v>
      </x:c>
      <x:c r="F10" s="3" t="n">
        <x:v>0</x:v>
      </x:c>
    </x:row>
    <x:row r="11">
      <x:c r="A11" s="3" t="n">
        <x:v>10</x:v>
      </x:c>
      <x:c r="B11" s="3" t="str">
        <x:v>José Júnior</x:v>
      </x:c>
      <x:c r="C11" s="3" t="str">
        <x:v>Grupo A</x:v>
      </x:c>
      <x:c r="D11" s="3" t="n">
        <x:v>0</x:v>
      </x:c>
      <x:c r="E11" s="3" t="n">
        <x:v>0</x:v>
      </x:c>
      <x:c r="F11" s="3" t="n">
        <x:v>0</x:v>
      </x:c>
    </x:row>
    <x:row r="12">
      <x:c r="A12" s="3" t="n">
        <x:v>11</x:v>
      </x:c>
      <x:c r="B12" s="3" t="str">
        <x:v>Julian</x:v>
      </x:c>
      <x:c r="C12" s="3" t="str">
        <x:v>Grupo A</x:v>
      </x:c>
      <x:c r="D12" s="3" t="n">
        <x:v>0</x:v>
      </x:c>
      <x:c r="E12" s="3" t="n">
        <x:v>0</x:v>
      </x:c>
      <x:c r="F12" s="3" t="n">
        <x:v>0</x:v>
      </x:c>
    </x:row>
    <x:row r="13">
      <x:c r="A13" s="3" t="n">
        <x:v>12</x:v>
      </x:c>
      <x:c r="B13" s="3" t="str">
        <x:v>Marcelo Toledo</x:v>
      </x:c>
      <x:c r="C13" s="3" t="str">
        <x:v>Grupo A</x:v>
      </x:c>
      <x:c r="D13" s="3" t="n">
        <x:v>0</x:v>
      </x:c>
      <x:c r="E13" s="3" t="n">
        <x:v>0</x:v>
      </x:c>
      <x:c r="F13" s="3" t="n">
        <x:v>0</x:v>
      </x:c>
    </x:row>
    <x:row r="14">
      <x:c r="A14" s="3" t="n">
        <x:v>13</x:v>
      </x:c>
      <x:c r="B14" s="3" t="str">
        <x:v>Michael</x:v>
      </x:c>
      <x:c r="C14" s="3" t="str">
        <x:v>Grupo A</x:v>
      </x:c>
      <x:c r="D14" s="3" t="n">
        <x:v>0</x:v>
      </x:c>
      <x:c r="E14" s="3" t="n">
        <x:v>0</x:v>
      </x:c>
      <x:c r="F14" s="3" t="n">
        <x:v>0</x:v>
      </x:c>
    </x:row>
    <x:row r="15">
      <x:c r="A15" s="3" t="n">
        <x:v>14</x:v>
      </x:c>
      <x:c r="B15" s="3" t="str">
        <x:v>Richard</x:v>
      </x:c>
      <x:c r="C15" s="3" t="str">
        <x:v>Grupo A</x:v>
      </x:c>
      <x:c r="D15" s="3" t="n">
        <x:v>0</x:v>
      </x:c>
      <x:c r="E15" s="3" t="n">
        <x:v>0</x:v>
      </x:c>
      <x:c r="F15" s="3" t="n">
        <x:v>0</x:v>
      </x:c>
    </x:row>
    <x:row r="16">
      <x:c r="A16" s="3" t="n">
        <x:v>15</x:v>
      </x:c>
      <x:c r="B16" s="3" t="str">
        <x:v>Rodrigo</x:v>
      </x:c>
      <x:c r="C16" s="3" t="str">
        <x:v>Grupo A</x:v>
      </x:c>
      <x:c r="D16" s="3" t="n">
        <x:v>0</x:v>
      </x:c>
      <x:c r="E16" s="3" t="n">
        <x:v>0</x:v>
      </x:c>
      <x:c r="F16" s="3" t="n">
        <x:v>0</x:v>
      </x:c>
    </x:row>
    <x:row r="17">
      <x:c r="A17" s="3" t="n">
        <x:v>16</x:v>
      </x:c>
      <x:c r="B17" s="3" t="str">
        <x:v>Willian</x:v>
      </x:c>
      <x:c r="C17" s="3" t="str">
        <x:v>Grupo A</x:v>
      </x:c>
      <x:c r="D17" s="3" t="n">
        <x:v>0</x:v>
      </x:c>
      <x:c r="E17" s="3" t="n">
        <x:v>0</x:v>
      </x:c>
      <x:c r="F17" s="3" t="n">
        <x:v>0</x:v>
      </x:c>
    </x:row>
    <x:row r="18">
      <x:c r="A18" s="3" t="n">
        <x:v>1</x:v>
      </x:c>
      <x:c r="B18" s="3" t="str">
        <x:v>Douglas</x:v>
      </x:c>
      <x:c r="C18" s="3" t="str">
        <x:v>Grupo B</x:v>
      </x:c>
      <x:c r="D18" s="3" t="n">
        <x:v>0</x:v>
      </x:c>
      <x:c r="E18" s="3" t="n">
        <x:v>0</x:v>
      </x:c>
      <x:c r="F18" s="3" t="n">
        <x:v>0</x:v>
      </x:c>
    </x:row>
    <x:row r="19">
      <x:c r="A19" s="3" t="n">
        <x:v>2</x:v>
      </x:c>
      <x:c r="B19" s="3" t="str">
        <x:v>Elton</x:v>
      </x:c>
      <x:c r="C19" s="3" t="str">
        <x:v>Grupo B</x:v>
      </x:c>
      <x:c r="D19" s="3" t="n">
        <x:v>0</x:v>
      </x:c>
      <x:c r="E19" s="3" t="n">
        <x:v>0</x:v>
      </x:c>
      <x:c r="F19" s="3" t="n">
        <x:v>0</x:v>
      </x:c>
    </x:row>
    <x:row r="20">
      <x:c r="A20" s="3" t="n">
        <x:v>3</x:v>
      </x:c>
      <x:c r="B20" s="3" t="str">
        <x:v>Eustáquio</x:v>
      </x:c>
      <x:c r="C20" s="3" t="str">
        <x:v>Grupo B</x:v>
      </x:c>
      <x:c r="D20" s="3" t="n">
        <x:v>0</x:v>
      </x:c>
      <x:c r="E20" s="3" t="n">
        <x:v>0</x:v>
      </x:c>
      <x:c r="F20" s="3" t="n">
        <x:v>0</x:v>
      </x:c>
    </x:row>
    <x:row r="21">
      <x:c r="A21" s="3" t="n">
        <x:v>4</x:v>
      </x:c>
      <x:c r="B21" s="3" t="str">
        <x:v>Gabriel Gusmão</x:v>
      </x:c>
      <x:c r="C21" s="3" t="str">
        <x:v>Grupo B</x:v>
      </x:c>
      <x:c r="D21" s="3" t="n">
        <x:v>0</x:v>
      </x:c>
      <x:c r="E21" s="3" t="n">
        <x:v>0</x:v>
      </x:c>
      <x:c r="F21" s="3" t="n">
        <x:v>0</x:v>
      </x:c>
    </x:row>
    <x:row r="22">
      <x:c r="A22" s="3" t="n">
        <x:v>5</x:v>
      </x:c>
      <x:c r="B22" s="3" t="str">
        <x:v>Gustavo</x:v>
      </x:c>
      <x:c r="C22" s="3" t="str">
        <x:v>Grupo B</x:v>
      </x:c>
      <x:c r="D22" s="3" t="n">
        <x:v>0</x:v>
      </x:c>
      <x:c r="E22" s="3" t="n">
        <x:v>0</x:v>
      </x:c>
      <x:c r="F22" s="3" t="n">
        <x:v>0</x:v>
      </x:c>
    </x:row>
    <x:row r="23">
      <x:c r="A23" s="3" t="n">
        <x:v>6</x:v>
      </x:c>
      <x:c r="B23" s="3" t="str">
        <x:v>Hendrikson</x:v>
      </x:c>
      <x:c r="C23" s="3" t="str">
        <x:v>Grupo B</x:v>
      </x:c>
      <x:c r="D23" s="3" t="n">
        <x:v>0</x:v>
      </x:c>
      <x:c r="E23" s="3" t="n">
        <x:v>0</x:v>
      </x:c>
      <x:c r="F23" s="3" t="n">
        <x:v>0</x:v>
      </x:c>
    </x:row>
    <x:row r="24">
      <x:c r="A24" s="3" t="n">
        <x:v>7</x:v>
      </x:c>
      <x:c r="B24" s="3" t="str">
        <x:v>João Carneiro</x:v>
      </x:c>
      <x:c r="C24" s="3" t="str">
        <x:v>Grupo B</x:v>
      </x:c>
      <x:c r="D24" s="3" t="n">
        <x:v>0</x:v>
      </x:c>
      <x:c r="E24" s="3" t="n">
        <x:v>0</x:v>
      </x:c>
      <x:c r="F24" s="3" t="n">
        <x:v>0</x:v>
      </x:c>
    </x:row>
    <x:row r="25">
      <x:c r="A25" s="3" t="n">
        <x:v>8</x:v>
      </x:c>
      <x:c r="B25" s="3" t="str">
        <x:v>Luiz Gustavo</x:v>
      </x:c>
      <x:c r="C25" s="3" t="str">
        <x:v>Grupo B</x:v>
      </x:c>
      <x:c r="D25" s="3" t="n">
        <x:v>0</x:v>
      </x:c>
      <x:c r="E25" s="3" t="n">
        <x:v>0</x:v>
      </x:c>
      <x:c r="F25" s="3" t="n">
        <x:v>0</x:v>
      </x:c>
    </x:row>
    <x:row r="26">
      <x:c r="A26" s="3" t="n">
        <x:v>9</x:v>
      </x:c>
      <x:c r="B26" s="3" t="str">
        <x:v>Max</x:v>
      </x:c>
      <x:c r="C26" s="3" t="str">
        <x:v>Grupo B</x:v>
      </x:c>
      <x:c r="D26" s="3" t="n">
        <x:v>0</x:v>
      </x:c>
      <x:c r="E26" s="3" t="n">
        <x:v>0</x:v>
      </x:c>
      <x:c r="F26" s="3" t="n">
        <x:v>0</x:v>
      </x:c>
    </x:row>
    <x:row r="27">
      <x:c r="A27" s="3" t="n">
        <x:v>10</x:v>
      </x:c>
      <x:c r="B27" s="3" t="str">
        <x:v>Maxsuel</x:v>
      </x:c>
      <x:c r="C27" s="3" t="str">
        <x:v>Grupo B</x:v>
      </x:c>
      <x:c r="D27" s="3" t="n">
        <x:v>0</x:v>
      </x:c>
      <x:c r="E27" s="3" t="n">
        <x:v>0</x:v>
      </x:c>
      <x:c r="F27" s="3" t="n">
        <x:v>0</x:v>
      </x:c>
    </x:row>
    <x:row r="28">
      <x:c r="A28" s="3" t="n">
        <x:v>11</x:v>
      </x:c>
      <x:c r="B28" s="3" t="str">
        <x:v>Taciano</x:v>
      </x:c>
      <x:c r="C28" s="3" t="str">
        <x:v>Grupo B</x:v>
      </x:c>
      <x:c r="D28" s="3" t="n">
        <x:v>0</x:v>
      </x:c>
      <x:c r="E28" s="3" t="n">
        <x:v>0</x:v>
      </x:c>
      <x:c r="F28" s="3" t="n">
        <x:v>0</x:v>
      </x:c>
    </x:row>
    <x:row r="29">
      <x:c r="A29" s="3" t="n">
        <x:v>12</x:v>
      </x:c>
      <x:c r="B29" s="3" t="str">
        <x:v>Thiago Faria</x:v>
      </x:c>
      <x:c r="C29" s="3" t="str">
        <x:v>Grupo B</x:v>
      </x:c>
      <x:c r="D29" s="3" t="n">
        <x:v>0</x:v>
      </x:c>
      <x:c r="E29" s="3" t="n">
        <x:v>0</x:v>
      </x:c>
      <x:c r="F29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b472478ad24d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6" t="str">
        <x:v>ordem</x:v>
      </x:c>
      <x:c r="B1" s="5" t="str">
        <x:v>nome</x:v>
      </x:c>
      <x:c r="C1" s="5" t="str">
        <x:v>grupo</x:v>
      </x:c>
      <x:c r="D1" s="5" t="str">
        <x:v>rodada</x:v>
      </x:c>
      <x:c r="E1" s="5" t="str">
        <x:v>tipo</x:v>
      </x:c>
      <x:c r="F1" s="6" t="str">
        <x:v>vitorias</x:v>
      </x:c>
      <x:c r="G1" s="6" t="str">
        <x:v>derrotas</x:v>
      </x:c>
      <x:c r="H1" s="6" t="str">
        <x:v>games_pro</x:v>
      </x:c>
      <x:c r="I1" s="6" t="str">
        <x:v>games_contra</x:v>
      </x:c>
      <x:c r="J1" s="6" t="str">
        <x:v>jogos</x:v>
      </x:c>
      <x:c r="K1" s="6" t="str">
        <x:v>pontos</x:v>
      </x:c>
    </x:row>
    <x:row r="2">
      <x:c r="A2" s="3" t="n">
        <x:f>'Atletas'!A2</x:f>
        <x:v>1</x:v>
      </x:c>
      <x:c r="B2" s="3" t="str">
        <x:f>'Atletas'!B2</x:f>
        <x:v>Abrahão</x:v>
      </x:c>
      <x:c r="C2" s="3" t="str">
        <x:f>'Atletas'!C2</x:f>
        <x:v>Grupo A</x:v>
      </x:c>
      <x:c r="D2" s="3" t="str">
        <x:v>1ª Rodada</x:v>
      </x:c>
      <x:c r="E2" s="3" t="str">
        <x:v>Desafio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10" t="n">
        <x:f>F2+G2</x:f>
        <x:v>0</x:v>
      </x:c>
      <x:c r="K2" s="10" t="n">
        <x:f>F2*20+G2*10+IF(C2="Grupo A",-I2,IF(C2="Grupo B",H2,0))</x:f>
        <x:v>0</x:v>
      </x:c>
    </x:row>
    <x:row r="3">
      <x:c r="A3" s="3" t="n">
        <x:f>'Atletas'!A3</x:f>
        <x:v>2</x:v>
      </x:c>
      <x:c r="B3" s="3" t="str">
        <x:f>'Atletas'!B3</x:f>
        <x:v>Alexis</x:v>
      </x:c>
      <x:c r="C3" s="3" t="str">
        <x:f>'Atletas'!C3</x:f>
        <x:v>Grupo A</x:v>
      </x:c>
      <x:c r="D3" s="3" t="str">
        <x:v>1ª Rodada</x:v>
      </x:c>
      <x:c r="E3" s="3" t="str">
        <x:v>Desafio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10" t="n">
        <x:f>F3+G3</x:f>
        <x:v>0</x:v>
      </x:c>
      <x:c r="K3" s="10" t="n">
        <x:f>F3*20+G3*10+IF(C3="Grupo A",-I3,IF(C3="Grupo B",H3,0))</x:f>
        <x:v>0</x:v>
      </x:c>
    </x:row>
    <x:row r="4">
      <x:c r="A4" s="3" t="n">
        <x:f>'Atletas'!A4</x:f>
        <x:v>3</x:v>
      </x:c>
      <x:c r="B4" s="3" t="str">
        <x:f>'Atletas'!B4</x:f>
        <x:v>Betinho</x:v>
      </x:c>
      <x:c r="C4" s="3" t="str">
        <x:f>'Atletas'!C4</x:f>
        <x:v>Grupo A</x:v>
      </x:c>
      <x:c r="D4" s="3" t="str">
        <x:v>1ª Rodada</x:v>
      </x:c>
      <x:c r="E4" s="3" t="str">
        <x:v>Desafio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10" t="n">
        <x:f>F4+G4</x:f>
        <x:v>0</x:v>
      </x:c>
      <x:c r="K4" s="10" t="n">
        <x:f>F4*20+G4*10+IF(C4="Grupo A",-I4,IF(C4="Grupo B",H4,0))</x:f>
        <x:v>0</x:v>
      </x:c>
    </x:row>
    <x:row r="5">
      <x:c r="A5" s="3" t="n">
        <x:f>'Atletas'!A5</x:f>
        <x:v>4</x:v>
      </x:c>
      <x:c r="B5" s="3" t="str">
        <x:f>'Atletas'!B5</x:f>
        <x:v>Felipe</x:v>
      </x:c>
      <x:c r="C5" s="3" t="str">
        <x:f>'Atletas'!C5</x:f>
        <x:v>Grupo A</x:v>
      </x:c>
      <x:c r="D5" s="3" t="str">
        <x:v>1ª Rodada</x:v>
      </x:c>
      <x:c r="E5" s="3" t="str">
        <x:v>Desafio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10" t="n">
        <x:f>F5+G5</x:f>
        <x:v>0</x:v>
      </x:c>
      <x:c r="K5" s="10" t="n">
        <x:f>F5*20+G5*10+IF(C5="Grupo A",-I5,IF(C5="Grupo B",H5,0))</x:f>
        <x:v>0</x:v>
      </x:c>
    </x:row>
    <x:row r="6">
      <x:c r="A6" s="3" t="n">
        <x:f>'Atletas'!A6</x:f>
        <x:v>5</x:v>
      </x:c>
      <x:c r="B6" s="3" t="str">
        <x:f>'Atletas'!B6</x:f>
        <x:v>Fernando Almeida</x:v>
      </x:c>
      <x:c r="C6" s="3" t="str">
        <x:f>'Atletas'!C6</x:f>
        <x:v>Grupo A</x:v>
      </x:c>
      <x:c r="D6" s="3" t="str">
        <x:v>1ª Rodada</x:v>
      </x:c>
      <x:c r="E6" s="3" t="str">
        <x:v>Desafio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10" t="n">
        <x:f>F6+G6</x:f>
        <x:v>0</x:v>
      </x:c>
      <x:c r="K6" s="10" t="n">
        <x:f>F6*20+G6*10+IF(C6="Grupo A",-I6,IF(C6="Grupo B",H6,0))</x:f>
        <x:v>0</x:v>
      </x:c>
    </x:row>
    <x:row r="7">
      <x:c r="A7" s="3" t="n">
        <x:f>'Atletas'!A7</x:f>
        <x:v>6</x:v>
      </x:c>
      <x:c r="B7" s="3" t="str">
        <x:f>'Atletas'!B7</x:f>
        <x:v>Fernando Corrêa</x:v>
      </x:c>
      <x:c r="C7" s="3" t="str">
        <x:f>'Atletas'!C7</x:f>
        <x:v>Grupo A</x:v>
      </x:c>
      <x:c r="D7" s="3" t="str">
        <x:v>1ª Rodada</x:v>
      </x:c>
      <x:c r="E7" s="3" t="str">
        <x:v>Desafio</x:v>
      </x:c>
      <x:c r="F7" s="8" t="n">
        <x:v>0</x:v>
      </x:c>
      <x:c r="G7" s="8" t="n">
        <x:v>0</x:v>
      </x:c>
      <x:c r="H7" s="8" t="n">
        <x:v>0</x:v>
      </x:c>
      <x:c r="I7" s="8" t="n">
        <x:v>0</x:v>
      </x:c>
      <x:c r="J7" s="10" t="n">
        <x:f>F7+G7</x:f>
        <x:v>0</x:v>
      </x:c>
      <x:c r="K7" s="10" t="n">
        <x:f>F7*20+G7*10+IF(C7="Grupo A",-I7,IF(C7="Grupo B",H7,0))</x:f>
        <x:v>0</x:v>
      </x:c>
    </x:row>
    <x:row r="8">
      <x:c r="A8" s="3" t="n">
        <x:f>'Atletas'!A8</x:f>
        <x:v>7</x:v>
      </x:c>
      <x:c r="B8" s="3" t="str">
        <x:f>'Atletas'!B8</x:f>
        <x:v>Fernando Dreyer</x:v>
      </x:c>
      <x:c r="C8" s="3" t="str">
        <x:f>'Atletas'!C8</x:f>
        <x:v>Grupo A</x:v>
      </x:c>
      <x:c r="D8" s="3" t="str">
        <x:v>1ª Rodada</x:v>
      </x:c>
      <x:c r="E8" s="3" t="str">
        <x:v>Desafio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10" t="n">
        <x:f>F8+G8</x:f>
        <x:v>0</x:v>
      </x:c>
      <x:c r="K8" s="10" t="n">
        <x:f>F8*20+G8*10+IF(C8="Grupo A",-I8,IF(C8="Grupo B",H8,0))</x:f>
        <x:v>0</x:v>
      </x:c>
    </x:row>
    <x:row r="9">
      <x:c r="A9" s="3" t="n">
        <x:f>'Atletas'!A9</x:f>
        <x:v>8</x:v>
      </x:c>
      <x:c r="B9" s="3" t="str">
        <x:f>'Atletas'!B9</x:f>
        <x:v>Gabriel Pereira</x:v>
      </x:c>
      <x:c r="C9" s="3" t="str">
        <x:f>'Atletas'!C9</x:f>
        <x:v>Grupo A</x:v>
      </x:c>
      <x:c r="D9" s="3" t="str">
        <x:v>1ª Rodada</x:v>
      </x:c>
      <x:c r="E9" s="3" t="str">
        <x:v>Desafio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10" t="n">
        <x:f>F9+G9</x:f>
        <x:v>0</x:v>
      </x:c>
      <x:c r="K9" s="10" t="n">
        <x:f>F9*20+G9*10+IF(C9="Grupo A",-I9,IF(C9="Grupo B",H9,0))</x:f>
        <x:v>0</x:v>
      </x:c>
    </x:row>
    <x:row r="10">
      <x:c r="A10" s="3" t="n">
        <x:f>'Atletas'!A10</x:f>
        <x:v>9</x:v>
      </x:c>
      <x:c r="B10" s="3" t="str">
        <x:f>'Atletas'!B10</x:f>
        <x:v>Igor Pinheiro</x:v>
      </x:c>
      <x:c r="C10" s="3" t="str">
        <x:f>'Atletas'!C10</x:f>
        <x:v>Grupo A</x:v>
      </x:c>
      <x:c r="D10" s="3" t="str">
        <x:v>1ª Rodada</x:v>
      </x:c>
      <x:c r="E10" s="3" t="str">
        <x:v>Desafio</x:v>
      </x:c>
      <x:c r="F10" s="8" t="n">
        <x:v>0</x:v>
      </x:c>
      <x:c r="G10" s="8" t="n">
        <x:v>0</x:v>
      </x:c>
      <x:c r="H10" s="8" t="n">
        <x:v>0</x:v>
      </x:c>
      <x:c r="I10" s="8" t="n">
        <x:v>0</x:v>
      </x:c>
      <x:c r="J10" s="10" t="n">
        <x:f>F10+G10</x:f>
        <x:v>0</x:v>
      </x:c>
      <x:c r="K10" s="10" t="n">
        <x:f>F10*20+G10*10+IF(C10="Grupo A",-I10,IF(C10="Grupo B",H10,0))</x:f>
        <x:v>0</x:v>
      </x:c>
    </x:row>
    <x:row r="11">
      <x:c r="A11" s="3" t="n">
        <x:f>'Atletas'!A11</x:f>
        <x:v>10</x:v>
      </x:c>
      <x:c r="B11" s="3" t="str">
        <x:f>'Atletas'!B11</x:f>
        <x:v>José Júnior</x:v>
      </x:c>
      <x:c r="C11" s="3" t="str">
        <x:f>'Atletas'!C11</x:f>
        <x:v>Grupo A</x:v>
      </x:c>
      <x:c r="D11" s="3" t="str">
        <x:v>1ª Rodada</x:v>
      </x:c>
      <x:c r="E11" s="3" t="str">
        <x:v>Desafio</x:v>
      </x:c>
      <x:c r="F11" s="8" t="n">
        <x:v>0</x:v>
      </x:c>
      <x:c r="G11" s="8" t="n">
        <x:v>0</x:v>
      </x:c>
      <x:c r="H11" s="8" t="n">
        <x:v>0</x:v>
      </x:c>
      <x:c r="I11" s="8" t="n">
        <x:v>0</x:v>
      </x:c>
      <x:c r="J11" s="10" t="n">
        <x:f>F11+G11</x:f>
        <x:v>0</x:v>
      </x:c>
      <x:c r="K11" s="10" t="n">
        <x:f>F11*20+G11*10+IF(C11="Grupo A",-I11,IF(C11="Grupo B",H11,0))</x:f>
        <x:v>0</x:v>
      </x:c>
    </x:row>
    <x:row r="12">
      <x:c r="A12" s="3" t="n">
        <x:f>'Atletas'!A12</x:f>
        <x:v>11</x:v>
      </x:c>
      <x:c r="B12" s="3" t="str">
        <x:f>'Atletas'!B12</x:f>
        <x:v>Julian</x:v>
      </x:c>
      <x:c r="C12" s="3" t="str">
        <x:f>'Atletas'!C12</x:f>
        <x:v>Grupo A</x:v>
      </x:c>
      <x:c r="D12" s="3" t="str">
        <x:v>1ª Rodada</x:v>
      </x:c>
      <x:c r="E12" s="3" t="str">
        <x:v>Desafio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10" t="n">
        <x:f>F12+G12</x:f>
        <x:v>0</x:v>
      </x:c>
      <x:c r="K12" s="10" t="n">
        <x:f>F12*20+G12*10+IF(C12="Grupo A",-I12,IF(C12="Grupo B",H12,0))</x:f>
        <x:v>0</x:v>
      </x:c>
    </x:row>
    <x:row r="13">
      <x:c r="A13" s="3" t="n">
        <x:f>'Atletas'!A13</x:f>
        <x:v>12</x:v>
      </x:c>
      <x:c r="B13" s="3" t="str">
        <x:f>'Atletas'!B13</x:f>
        <x:v>Marcelo Toledo</x:v>
      </x:c>
      <x:c r="C13" s="3" t="str">
        <x:f>'Atletas'!C13</x:f>
        <x:v>Grupo A</x:v>
      </x:c>
      <x:c r="D13" s="3" t="str">
        <x:v>1ª Rodada</x:v>
      </x:c>
      <x:c r="E13" s="3" t="str">
        <x:v>Desafio</x:v>
      </x:c>
      <x:c r="F13" s="8" t="n">
        <x:v>0</x:v>
      </x:c>
      <x:c r="G13" s="8" t="n">
        <x:v>0</x:v>
      </x:c>
      <x:c r="H13" s="8" t="n">
        <x:v>0</x:v>
      </x:c>
      <x:c r="I13" s="8" t="n">
        <x:v>0</x:v>
      </x:c>
      <x:c r="J13" s="10" t="n">
        <x:f>F13+G13</x:f>
        <x:v>0</x:v>
      </x:c>
      <x:c r="K13" s="10" t="n">
        <x:f>F13*20+G13*10+IF(C13="Grupo A",-I13,IF(C13="Grupo B",H13,0))</x:f>
        <x:v>0</x:v>
      </x:c>
    </x:row>
    <x:row r="14">
      <x:c r="A14" s="3" t="n">
        <x:f>'Atletas'!A14</x:f>
        <x:v>13</x:v>
      </x:c>
      <x:c r="B14" s="3" t="str">
        <x:f>'Atletas'!B14</x:f>
        <x:v>Michael</x:v>
      </x:c>
      <x:c r="C14" s="3" t="str">
        <x:f>'Atletas'!C14</x:f>
        <x:v>Grupo A</x:v>
      </x:c>
      <x:c r="D14" s="3" t="str">
        <x:v>1ª Rodada</x:v>
      </x:c>
      <x:c r="E14" s="3" t="str">
        <x:v>Desafio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10" t="n">
        <x:f>F14+G14</x:f>
        <x:v>0</x:v>
      </x:c>
      <x:c r="K14" s="10" t="n">
        <x:f>F14*20+G14*10+IF(C14="Grupo A",-I14,IF(C14="Grupo B",H14,0))</x:f>
        <x:v>0</x:v>
      </x:c>
    </x:row>
    <x:row r="15">
      <x:c r="A15" s="3" t="n">
        <x:f>'Atletas'!A15</x:f>
        <x:v>14</x:v>
      </x:c>
      <x:c r="B15" s="3" t="str">
        <x:f>'Atletas'!B15</x:f>
        <x:v>Richard</x:v>
      </x:c>
      <x:c r="C15" s="3" t="str">
        <x:f>'Atletas'!C15</x:f>
        <x:v>Grupo A</x:v>
      </x:c>
      <x:c r="D15" s="3" t="str">
        <x:v>1ª Rodada</x:v>
      </x:c>
      <x:c r="E15" s="3" t="str">
        <x:v>Desafio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  <x:c r="J15" s="10" t="n">
        <x:f>F15+G15</x:f>
        <x:v>0</x:v>
      </x:c>
      <x:c r="K15" s="10" t="n">
        <x:f>F15*20+G15*10+IF(C15="Grupo A",-I15,IF(C15="Grupo B",H15,0))</x:f>
        <x:v>0</x:v>
      </x:c>
    </x:row>
    <x:row r="16">
      <x:c r="A16" s="3" t="n">
        <x:f>'Atletas'!A16</x:f>
        <x:v>15</x:v>
      </x:c>
      <x:c r="B16" s="3" t="str">
        <x:f>'Atletas'!B16</x:f>
        <x:v>Rodrigo</x:v>
      </x:c>
      <x:c r="C16" s="3" t="str">
        <x:f>'Atletas'!C16</x:f>
        <x:v>Grupo A</x:v>
      </x:c>
      <x:c r="D16" s="3" t="str">
        <x:v>1ª Rodada</x:v>
      </x:c>
      <x:c r="E16" s="3" t="str">
        <x:v>Desafio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10" t="n">
        <x:f>F16+G16</x:f>
        <x:v>0</x:v>
      </x:c>
      <x:c r="K16" s="10" t="n">
        <x:f>F16*20+G16*10+IF(C16="Grupo A",-I16,IF(C16="Grupo B",H16,0))</x:f>
        <x:v>0</x:v>
      </x:c>
    </x:row>
    <x:row r="17">
      <x:c r="A17" s="3" t="n">
        <x:f>'Atletas'!A17</x:f>
        <x:v>16</x:v>
      </x:c>
      <x:c r="B17" s="3" t="str">
        <x:f>'Atletas'!B17</x:f>
        <x:v>Willian</x:v>
      </x:c>
      <x:c r="C17" s="3" t="str">
        <x:f>'Atletas'!C17</x:f>
        <x:v>Grupo A</x:v>
      </x:c>
      <x:c r="D17" s="3" t="str">
        <x:v>1ª Rodada</x:v>
      </x:c>
      <x:c r="E17" s="3" t="str">
        <x:v>Desafio</x:v>
      </x:c>
      <x:c r="F17" s="8" t="n">
        <x:v>0</x:v>
      </x:c>
      <x:c r="G17" s="8" t="n">
        <x:v>0</x:v>
      </x:c>
      <x:c r="H17" s="8" t="n">
        <x:v>0</x:v>
      </x:c>
      <x:c r="I17" s="8" t="n">
        <x:v>0</x:v>
      </x:c>
      <x:c r="J17" s="10" t="n">
        <x:f>F17+G17</x:f>
        <x:v>0</x:v>
      </x:c>
      <x:c r="K17" s="10" t="n">
        <x:f>F17*20+G17*10+IF(C17="Grupo A",-I17,IF(C17="Grupo B",H17,0))</x:f>
        <x:v>0</x:v>
      </x:c>
    </x:row>
    <x:row r="18">
      <x:c r="A18" s="3" t="n">
        <x:f>'Atletas'!A18</x:f>
        <x:v>1</x:v>
      </x:c>
      <x:c r="B18" s="3" t="str">
        <x:f>'Atletas'!B18</x:f>
        <x:v>Douglas</x:v>
      </x:c>
      <x:c r="C18" s="3" t="str">
        <x:f>'Atletas'!C18</x:f>
        <x:v>Grupo B</x:v>
      </x:c>
      <x:c r="D18" s="3" t="str">
        <x:v>1ª Rodada</x:v>
      </x:c>
      <x:c r="E18" s="3" t="str">
        <x:v>Desafio</x:v>
      </x:c>
      <x:c r="F18" s="8" t="n">
        <x:v>0</x:v>
      </x:c>
      <x:c r="G18" s="8" t="n">
        <x:v>0</x:v>
      </x:c>
      <x:c r="H18" s="8" t="n">
        <x:v>0</x:v>
      </x:c>
      <x:c r="I18" s="8" t="n">
        <x:v>0</x:v>
      </x:c>
      <x:c r="J18" s="10" t="n">
        <x:f>F18+G18</x:f>
        <x:v>0</x:v>
      </x:c>
      <x:c r="K18" s="10" t="n">
        <x:f>F18*20+G18*10+IF(C18="Grupo A",-I18,IF(C18="Grupo B",H18,0))</x:f>
        <x:v>0</x:v>
      </x:c>
    </x:row>
    <x:row r="19">
      <x:c r="A19" s="3" t="n">
        <x:f>'Atletas'!A19</x:f>
        <x:v>2</x:v>
      </x:c>
      <x:c r="B19" s="3" t="str">
        <x:f>'Atletas'!B19</x:f>
        <x:v>Elton</x:v>
      </x:c>
      <x:c r="C19" s="3" t="str">
        <x:f>'Atletas'!C19</x:f>
        <x:v>Grupo B</x:v>
      </x:c>
      <x:c r="D19" s="3" t="str">
        <x:v>1ª Rodada</x:v>
      </x:c>
      <x:c r="E19" s="3" t="str">
        <x:v>Desafio</x:v>
      </x:c>
      <x:c r="F19" s="8" t="n">
        <x:v>0</x:v>
      </x:c>
      <x:c r="G19" s="8" t="n">
        <x:v>0</x:v>
      </x:c>
      <x:c r="H19" s="8" t="n">
        <x:v>0</x:v>
      </x:c>
      <x:c r="I19" s="8" t="n">
        <x:v>0</x:v>
      </x:c>
      <x:c r="J19" s="10" t="n">
        <x:f>F19+G19</x:f>
        <x:v>0</x:v>
      </x:c>
      <x:c r="K19" s="10" t="n">
        <x:f>F19*20+G19*10+IF(C19="Grupo A",-I19,IF(C19="Grupo B",H19,0))</x:f>
        <x:v>0</x:v>
      </x:c>
    </x:row>
    <x:row r="20">
      <x:c r="A20" s="3" t="n">
        <x:f>'Atletas'!A20</x:f>
        <x:v>3</x:v>
      </x:c>
      <x:c r="B20" s="3" t="str">
        <x:f>'Atletas'!B20</x:f>
        <x:v>Eustáquio</x:v>
      </x:c>
      <x:c r="C20" s="3" t="str">
        <x:f>'Atletas'!C20</x:f>
        <x:v>Grupo B</x:v>
      </x:c>
      <x:c r="D20" s="3" t="str">
        <x:v>1ª Rodada</x:v>
      </x:c>
      <x:c r="E20" s="3" t="str">
        <x:v>Desafio</x:v>
      </x:c>
      <x:c r="F20" s="8" t="n">
        <x:v>0</x:v>
      </x:c>
      <x:c r="G20" s="8" t="n">
        <x:v>0</x:v>
      </x:c>
      <x:c r="H20" s="8" t="n">
        <x:v>0</x:v>
      </x:c>
      <x:c r="I20" s="8" t="n">
        <x:v>0</x:v>
      </x:c>
      <x:c r="J20" s="10" t="n">
        <x:f>F20+G20</x:f>
        <x:v>0</x:v>
      </x:c>
      <x:c r="K20" s="10" t="n">
        <x:f>F20*20+G20*10+IF(C20="Grupo A",-I20,IF(C20="Grupo B",H20,0))</x:f>
        <x:v>0</x:v>
      </x:c>
    </x:row>
    <x:row r="21">
      <x:c r="A21" s="3" t="n">
        <x:f>'Atletas'!A21</x:f>
        <x:v>4</x:v>
      </x:c>
      <x:c r="B21" s="3" t="str">
        <x:f>'Atletas'!B21</x:f>
        <x:v>Gabriel Gusmão</x:v>
      </x:c>
      <x:c r="C21" s="3" t="str">
        <x:f>'Atletas'!C21</x:f>
        <x:v>Grupo B</x:v>
      </x:c>
      <x:c r="D21" s="3" t="str">
        <x:v>1ª Rodada</x:v>
      </x:c>
      <x:c r="E21" s="3" t="str">
        <x:v>Desafio</x:v>
      </x:c>
      <x:c r="F21" s="8" t="n">
        <x:v>0</x:v>
      </x:c>
      <x:c r="G21" s="8" t="n">
        <x:v>0</x:v>
      </x:c>
      <x:c r="H21" s="8" t="n">
        <x:v>0</x:v>
      </x:c>
      <x:c r="I21" s="8" t="n">
        <x:v>0</x:v>
      </x:c>
      <x:c r="J21" s="10" t="n">
        <x:f>F21+G21</x:f>
        <x:v>0</x:v>
      </x:c>
      <x:c r="K21" s="10" t="n">
        <x:f>F21*20+G21*10+IF(C21="Grupo A",-I21,IF(C21="Grupo B",H21,0))</x:f>
        <x:v>0</x:v>
      </x:c>
    </x:row>
    <x:row r="22">
      <x:c r="A22" s="3" t="n">
        <x:f>'Atletas'!A22</x:f>
        <x:v>5</x:v>
      </x:c>
      <x:c r="B22" s="3" t="str">
        <x:f>'Atletas'!B22</x:f>
        <x:v>Gustavo</x:v>
      </x:c>
      <x:c r="C22" s="3" t="str">
        <x:f>'Atletas'!C22</x:f>
        <x:v>Grupo B</x:v>
      </x:c>
      <x:c r="D22" s="3" t="str">
        <x:v>1ª Rodada</x:v>
      </x:c>
      <x:c r="E22" s="3" t="str">
        <x:v>Desafio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  <x:c r="J22" s="10" t="n">
        <x:f>F22+G22</x:f>
        <x:v>0</x:v>
      </x:c>
      <x:c r="K22" s="10" t="n">
        <x:f>F22*20+G22*10+IF(C22="Grupo A",-I22,IF(C22="Grupo B",H22,0))</x:f>
        <x:v>0</x:v>
      </x:c>
    </x:row>
    <x:row r="23">
      <x:c r="A23" s="3" t="n">
        <x:f>'Atletas'!A23</x:f>
        <x:v>6</x:v>
      </x:c>
      <x:c r="B23" s="3" t="str">
        <x:f>'Atletas'!B23</x:f>
        <x:v>Hendrikson</x:v>
      </x:c>
      <x:c r="C23" s="3" t="str">
        <x:f>'Atletas'!C23</x:f>
        <x:v>Grupo B</x:v>
      </x:c>
      <x:c r="D23" s="3" t="str">
        <x:v>1ª Rodada</x:v>
      </x:c>
      <x:c r="E23" s="3" t="str">
        <x:v>Desafio</x:v>
      </x:c>
      <x:c r="F23" s="8" t="n">
        <x:v>0</x:v>
      </x:c>
      <x:c r="G23" s="8" t="n">
        <x:v>0</x:v>
      </x:c>
      <x:c r="H23" s="8" t="n">
        <x:v>0</x:v>
      </x:c>
      <x:c r="I23" s="8" t="n">
        <x:v>0</x:v>
      </x:c>
      <x:c r="J23" s="10" t="n">
        <x:f>F23+G23</x:f>
        <x:v>0</x:v>
      </x:c>
      <x:c r="K23" s="10" t="n">
        <x:f>F23*20+G23*10+IF(C23="Grupo A",-I23,IF(C23="Grupo B",H23,0))</x:f>
        <x:v>0</x:v>
      </x:c>
    </x:row>
    <x:row r="24">
      <x:c r="A24" s="3" t="n">
        <x:f>'Atletas'!A24</x:f>
        <x:v>7</x:v>
      </x:c>
      <x:c r="B24" s="3" t="str">
        <x:f>'Atletas'!B24</x:f>
        <x:v>João Carneiro</x:v>
      </x:c>
      <x:c r="C24" s="3" t="str">
        <x:f>'Atletas'!C24</x:f>
        <x:v>Grupo B</x:v>
      </x:c>
      <x:c r="D24" s="3" t="str">
        <x:v>1ª Rodada</x:v>
      </x:c>
      <x:c r="E24" s="3" t="str">
        <x:v>Desafio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  <x:c r="J24" s="10" t="n">
        <x:f>F24+G24</x:f>
        <x:v>0</x:v>
      </x:c>
      <x:c r="K24" s="10" t="n">
        <x:f>F24*20+G24*10+IF(C24="Grupo A",-I24,IF(C24="Grupo B",H24,0))</x:f>
        <x:v>0</x:v>
      </x:c>
    </x:row>
    <x:row r="25">
      <x:c r="A25" s="3" t="n">
        <x:f>'Atletas'!A25</x:f>
        <x:v>8</x:v>
      </x:c>
      <x:c r="B25" s="3" t="str">
        <x:f>'Atletas'!B25</x:f>
        <x:v>Luiz Gustavo</x:v>
      </x:c>
      <x:c r="C25" s="3" t="str">
        <x:f>'Atletas'!C25</x:f>
        <x:v>Grupo B</x:v>
      </x:c>
      <x:c r="D25" s="3" t="str">
        <x:v>1ª Rodada</x:v>
      </x:c>
      <x:c r="E25" s="3" t="str">
        <x:v>Desafio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  <x:c r="J25" s="10" t="n">
        <x:f>F25+G25</x:f>
        <x:v>0</x:v>
      </x:c>
      <x:c r="K25" s="10" t="n">
        <x:f>F25*20+G25*10+IF(C25="Grupo A",-I25,IF(C25="Grupo B",H25,0))</x:f>
        <x:v>0</x:v>
      </x:c>
    </x:row>
    <x:row r="26">
      <x:c r="A26" s="3" t="n">
        <x:f>'Atletas'!A26</x:f>
        <x:v>9</x:v>
      </x:c>
      <x:c r="B26" s="3" t="str">
        <x:f>'Atletas'!B26</x:f>
        <x:v>Max</x:v>
      </x:c>
      <x:c r="C26" s="3" t="str">
        <x:f>'Atletas'!C26</x:f>
        <x:v>Grupo B</x:v>
      </x:c>
      <x:c r="D26" s="3" t="str">
        <x:v>1ª Rodada</x:v>
      </x:c>
      <x:c r="E26" s="3" t="str">
        <x:v>Desafio</x:v>
      </x:c>
      <x:c r="F26" s="8" t="n">
        <x:v>0</x:v>
      </x:c>
      <x:c r="G26" s="8" t="n">
        <x:v>0</x:v>
      </x:c>
      <x:c r="H26" s="8" t="n">
        <x:v>0</x:v>
      </x:c>
      <x:c r="I26" s="8" t="n">
        <x:v>0</x:v>
      </x:c>
      <x:c r="J26" s="10" t="n">
        <x:f>F26+G26</x:f>
        <x:v>0</x:v>
      </x:c>
      <x:c r="K26" s="10" t="n">
        <x:f>F26*20+G26*10+IF(C26="Grupo A",-I26,IF(C26="Grupo B",H26,0))</x:f>
        <x:v>0</x:v>
      </x:c>
    </x:row>
    <x:row r="27">
      <x:c r="A27" s="3" t="n">
        <x:f>'Atletas'!A27</x:f>
        <x:v>10</x:v>
      </x:c>
      <x:c r="B27" s="3" t="str">
        <x:f>'Atletas'!B27</x:f>
        <x:v>Maxsuel</x:v>
      </x:c>
      <x:c r="C27" s="3" t="str">
        <x:f>'Atletas'!C27</x:f>
        <x:v>Grupo B</x:v>
      </x:c>
      <x:c r="D27" s="3" t="str">
        <x:v>1ª Rodada</x:v>
      </x:c>
      <x:c r="E27" s="3" t="str">
        <x:v>Desafio</x:v>
      </x:c>
      <x:c r="F27" s="8" t="n">
        <x:v>0</x:v>
      </x:c>
      <x:c r="G27" s="8" t="n">
        <x:v>0</x:v>
      </x:c>
      <x:c r="H27" s="8" t="n">
        <x:v>0</x:v>
      </x:c>
      <x:c r="I27" s="8" t="n">
        <x:v>0</x:v>
      </x:c>
      <x:c r="J27" s="10" t="n">
        <x:f>F27+G27</x:f>
        <x:v>0</x:v>
      </x:c>
      <x:c r="K27" s="10" t="n">
        <x:f>F27*20+G27*10+IF(C27="Grupo A",-I27,IF(C27="Grupo B",H27,0))</x:f>
        <x:v>0</x:v>
      </x:c>
    </x:row>
    <x:row r="28">
      <x:c r="A28" s="3" t="n">
        <x:f>'Atletas'!A28</x:f>
        <x:v>11</x:v>
      </x:c>
      <x:c r="B28" s="3" t="str">
        <x:f>'Atletas'!B28</x:f>
        <x:v>Taciano</x:v>
      </x:c>
      <x:c r="C28" s="3" t="str">
        <x:f>'Atletas'!C28</x:f>
        <x:v>Grupo B</x:v>
      </x:c>
      <x:c r="D28" s="3" t="str">
        <x:v>1ª Rodada</x:v>
      </x:c>
      <x:c r="E28" s="3" t="str">
        <x:v>Desafio</x:v>
      </x:c>
      <x:c r="F28" s="8" t="n">
        <x:v>0</x:v>
      </x:c>
      <x:c r="G28" s="8" t="n">
        <x:v>0</x:v>
      </x:c>
      <x:c r="H28" s="8" t="n">
        <x:v>0</x:v>
      </x:c>
      <x:c r="I28" s="8" t="n">
        <x:v>0</x:v>
      </x:c>
      <x:c r="J28" s="10" t="n">
        <x:f>F28+G28</x:f>
        <x:v>0</x:v>
      </x:c>
      <x:c r="K28" s="10" t="n">
        <x:f>F28*20+G28*10+IF(C28="Grupo A",-I28,IF(C28="Grupo B",H28,0))</x:f>
        <x:v>0</x:v>
      </x:c>
    </x:row>
    <x:row r="29">
      <x:c r="A29" s="3" t="n">
        <x:f>'Atletas'!A29</x:f>
        <x:v>12</x:v>
      </x:c>
      <x:c r="B29" s="3" t="str">
        <x:f>'Atletas'!B29</x:f>
        <x:v>Thiago Faria</x:v>
      </x:c>
      <x:c r="C29" s="3" t="str">
        <x:f>'Atletas'!C29</x:f>
        <x:v>Grupo B</x:v>
      </x:c>
      <x:c r="D29" s="3" t="str">
        <x:v>1ª Rodada</x:v>
      </x:c>
      <x:c r="E29" s="3" t="str">
        <x:v>Desafio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10" t="n">
        <x:f>F29+G29</x:f>
        <x:v>0</x:v>
      </x:c>
      <x:c r="K29" s="10" t="n">
        <x:f>F29*20+G29*10+IF(C29="Grupo A",-I29,IF(C29="Grupo B",H29,0))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067e52e6e041a3"/>
  </x:tableParts>
</x:worksheet>
</file>